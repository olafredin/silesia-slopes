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Python\silesia-slopes\notebooks\qgis_lab_08\"/>
    </mc:Choice>
  </mc:AlternateContent>
  <xr:revisionPtr revIDLastSave="0" documentId="13_ncr:1_{D3324850-C3E9-4EA9-8E87-FC43081632FB}" xr6:coauthVersionLast="47" xr6:coauthVersionMax="47" xr10:uidLastSave="{00000000-0000-0000-0000-000000000000}"/>
  <bookViews>
    <workbookView xWindow="2304" yWindow="2304" windowWidth="17280" windowHeight="8880" xr2:uid="{00000000-000D-0000-FFFF-FFFF00000000}"/>
  </bookViews>
  <sheets>
    <sheet name="measuremen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" l="1"/>
  <c r="G9" i="1"/>
  <c r="H8" i="1"/>
  <c r="G8" i="1"/>
  <c r="H7" i="1"/>
  <c r="G7" i="1"/>
  <c r="H6" i="1"/>
  <c r="G6" i="1"/>
  <c r="H5" i="1"/>
  <c r="G5" i="1"/>
</calcChain>
</file>

<file path=xl/sharedStrings.xml><?xml version="1.0" encoding="utf-8"?>
<sst xmlns="http://schemas.openxmlformats.org/spreadsheetml/2006/main" count="10" uniqueCount="10">
  <si>
    <t>Skamsdalen debris-flow measurements — fill in as you digitise in QGIS</t>
  </si>
  <si>
    <t>Read elevations on the fly with the Identify Features tool on the DTM; read distances off the Measure Line tool. Type values straight into the white cells. H and beta (grey) are computed automatically as a sanity check — leave them alone.</t>
  </si>
  <si>
    <t>flow_id</t>
  </si>
  <si>
    <t>z_source</t>
  </si>
  <si>
    <t>z_beta</t>
  </si>
  <si>
    <t>z_toe</t>
  </si>
  <si>
    <t>L_beta</t>
  </si>
  <si>
    <t>L_obs</t>
  </si>
  <si>
    <t>H</t>
  </si>
  <si>
    <t>beta_deg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</si>
</sst>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555555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FFFFF"/>
      </patternFill>
    </fill>
    <fill>
      <patternFill patternType="solid">
        <fgColor rgb="FFE8E8E8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3" borderId="1" xfId="0" applyNumberFormat="1" applyFill="1" applyBorder="1"/>
    <xf numFmtId="164" fontId="0" fillId="4" borderId="1" xfId="0" applyNumberFormat="1" applyFill="1" applyBorder="1"/>
    <xf numFmtId="0" fontId="2" fillId="0" borderId="0" xfId="0" applyFont="1" applyAlignment="1">
      <alignment vertical="top" wrapText="1"/>
    </xf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workbookViewId="0">
      <pane ySplit="4" topLeftCell="A5" activePane="bottomLeft" state="frozen"/>
      <selection pane="bottomLeft" activeCell="B9" sqref="B9"/>
    </sheetView>
  </sheetViews>
  <sheetFormatPr defaultRowHeight="14.4" x14ac:dyDescent="0.3"/>
  <cols>
    <col min="1" max="8" width="13" customWidth="1"/>
  </cols>
  <sheetData>
    <row r="1" spans="1:8" ht="17.399999999999999" x14ac:dyDescent="0.35">
      <c r="A1" s="7" t="s">
        <v>0</v>
      </c>
      <c r="B1" s="6"/>
      <c r="C1" s="6"/>
      <c r="D1" s="6"/>
      <c r="E1" s="6"/>
      <c r="F1" s="6"/>
      <c r="G1" s="6"/>
      <c r="H1" s="6"/>
    </row>
    <row r="2" spans="1:8" ht="42" customHeight="1" x14ac:dyDescent="0.3">
      <c r="A2" s="5" t="s">
        <v>1</v>
      </c>
      <c r="B2" s="6"/>
      <c r="C2" s="6"/>
      <c r="D2" s="6"/>
      <c r="E2" s="6"/>
      <c r="F2" s="6"/>
      <c r="G2" s="6"/>
      <c r="H2" s="6"/>
    </row>
    <row r="4" spans="1:8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x14ac:dyDescent="0.3">
      <c r="A5" s="2">
        <v>1</v>
      </c>
      <c r="B5" s="3">
        <v>1060</v>
      </c>
      <c r="C5" s="3">
        <v>924</v>
      </c>
      <c r="D5" s="3">
        <v>892</v>
      </c>
      <c r="E5" s="3">
        <v>370</v>
      </c>
      <c r="F5" s="3">
        <v>570</v>
      </c>
      <c r="G5" s="4">
        <f>IF(AND(B5&lt;&gt;"",D5&lt;&gt;""),B5-D5,"")</f>
        <v>168</v>
      </c>
      <c r="H5" s="4">
        <f>IF(AND(B5&lt;&gt;"",C5&lt;&gt;"",E5&lt;&gt;""),DEGREES(ATAN((B5-C5)/E5)),"")</f>
        <v>20.181790699981697</v>
      </c>
    </row>
    <row r="6" spans="1:8" x14ac:dyDescent="0.3">
      <c r="A6" s="2">
        <v>2</v>
      </c>
      <c r="B6" s="3">
        <v>1094</v>
      </c>
      <c r="C6" s="3">
        <v>925</v>
      </c>
      <c r="D6" s="3">
        <v>892</v>
      </c>
      <c r="E6" s="3">
        <v>391</v>
      </c>
      <c r="F6" s="3">
        <v>675</v>
      </c>
      <c r="G6" s="4">
        <f>IF(AND(B6&lt;&gt;"",D6&lt;&gt;""),B6-D6,"")</f>
        <v>202</v>
      </c>
      <c r="H6" s="4">
        <f>IF(AND(B6&lt;&gt;"",C6&lt;&gt;"",E6&lt;&gt;""),DEGREES(ATAN((B6-C6)/E6)),"")</f>
        <v>23.37521072952228</v>
      </c>
    </row>
    <row r="7" spans="1:8" x14ac:dyDescent="0.3">
      <c r="A7" s="2">
        <v>3</v>
      </c>
      <c r="B7" s="3">
        <v>1085</v>
      </c>
      <c r="C7" s="3">
        <v>934</v>
      </c>
      <c r="D7" s="3">
        <v>894</v>
      </c>
      <c r="E7" s="3">
        <v>407</v>
      </c>
      <c r="F7" s="3">
        <v>627</v>
      </c>
      <c r="G7" s="4">
        <f>IF(AND(B7&lt;&gt;"",D7&lt;&gt;""),B7-D7,"")</f>
        <v>191</v>
      </c>
      <c r="H7" s="4">
        <f>IF(AND(B7&lt;&gt;"",C7&lt;&gt;"",E7&lt;&gt;""),DEGREES(ATAN((B7-C7)/E7)),"")</f>
        <v>20.355225029891734</v>
      </c>
    </row>
    <row r="8" spans="1:8" x14ac:dyDescent="0.3">
      <c r="A8" s="2">
        <v>4</v>
      </c>
      <c r="B8" s="3">
        <v>1150</v>
      </c>
      <c r="C8" s="3">
        <v>927</v>
      </c>
      <c r="D8" s="3">
        <v>909</v>
      </c>
      <c r="E8" s="3">
        <v>553</v>
      </c>
      <c r="F8" s="3">
        <v>703</v>
      </c>
      <c r="G8" s="4">
        <f>IF(AND(B8&lt;&gt;"",D8&lt;&gt;""),B8-D8,"")</f>
        <v>241</v>
      </c>
      <c r="H8" s="4">
        <f>IF(AND(B8&lt;&gt;"",C8&lt;&gt;"",E8&lt;&gt;""),DEGREES(ATAN((B8-C8)/E8)),"")</f>
        <v>21.962001409512215</v>
      </c>
    </row>
    <row r="9" spans="1:8" x14ac:dyDescent="0.3">
      <c r="A9" s="2">
        <v>5</v>
      </c>
      <c r="B9" s="3"/>
      <c r="C9" s="3"/>
      <c r="D9" s="3"/>
      <c r="E9" s="3"/>
      <c r="F9" s="3"/>
      <c r="G9" s="4" t="str">
        <f>IF(AND(B9&lt;&gt;"",D9&lt;&gt;""),B9-D9,"")</f>
        <v/>
      </c>
      <c r="H9" s="4" t="str">
        <f>IF(AND(B9&lt;&gt;"",C9&lt;&gt;"",E9&lt;&gt;""),DEGREES(ATAN((B9-C9)/E9)),"")</f>
        <v/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measurements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Ola Fredin</cp:lastModifiedBy>
  <dcterms:created xsi:type="dcterms:W3CDTF">2026-06-03T04:59:20Z</dcterms:created>
  <dcterms:modified xsi:type="dcterms:W3CDTF">2026-06-03T13:00:36Z</dcterms:modified>
</cp:coreProperties>
</file>