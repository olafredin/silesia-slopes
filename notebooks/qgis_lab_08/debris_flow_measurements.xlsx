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Skamsdalen debris-flow measurements — fill in as you digitise in QGIS</t>
        </is>
      </c>
    </row>
    <row r="2" ht="42" customHeight="1">
      <c r="A2" s="2" t="inlineStr">
        <is>
          <t>Read elevations on the fly with the Identify Features tool on the DTM; read distances off the Measure Line tool. Type values straight into the white cells. H and beta (grey) are computed automatically as a sanity check — leave them alone.</t>
        </is>
      </c>
    </row>
    <row r="4">
      <c r="A4" s="3" t="inlineStr">
        <is>
          <t>flow_id</t>
        </is>
      </c>
      <c r="B4" s="3" t="inlineStr">
        <is>
          <t>z_source</t>
        </is>
      </c>
      <c r="C4" s="3" t="inlineStr">
        <is>
          <t>z_beta</t>
        </is>
      </c>
      <c r="D4" s="3" t="inlineStr">
        <is>
          <t>z_toe</t>
        </is>
      </c>
      <c r="E4" s="3" t="inlineStr">
        <is>
          <t>L_beta</t>
        </is>
      </c>
      <c r="F4" s="3" t="inlineStr">
        <is>
          <t>L_obs</t>
        </is>
      </c>
      <c r="G4" s="3" t="inlineStr">
        <is>
          <t>H</t>
        </is>
      </c>
      <c r="H4" s="3" t="inlineStr">
        <is>
          <t>beta_deg</t>
        </is>
      </c>
    </row>
    <row r="5">
      <c r="A5" s="4" t="n">
        <v>1</v>
      </c>
      <c r="B5" s="5" t="n"/>
      <c r="C5" s="5" t="n"/>
      <c r="D5" s="5" t="n"/>
      <c r="E5" s="5" t="n"/>
      <c r="F5" s="5" t="n"/>
      <c r="G5" s="6">
        <f>IF(AND(B5&lt;&gt;"",D5&lt;&gt;""),B5-D5,"")</f>
        <v/>
      </c>
      <c r="H5" s="6">
        <f>IF(AND(B5&lt;&gt;"",C5&lt;&gt;"",E5&lt;&gt;""),DEGREES(ATAN((B5-C5)/E5)),"")</f>
        <v/>
      </c>
    </row>
    <row r="6">
      <c r="A6" s="4" t="n">
        <v>2</v>
      </c>
      <c r="B6" s="5" t="n"/>
      <c r="C6" s="5" t="n"/>
      <c r="D6" s="5" t="n"/>
      <c r="E6" s="5" t="n"/>
      <c r="F6" s="5" t="n"/>
      <c r="G6" s="6">
        <f>IF(AND(B6&lt;&gt;"",D6&lt;&gt;""),B6-D6,"")</f>
        <v/>
      </c>
      <c r="H6" s="6">
        <f>IF(AND(B6&lt;&gt;"",C6&lt;&gt;"",E6&lt;&gt;""),DEGREES(ATAN((B6-C6)/E6)),"")</f>
        <v/>
      </c>
    </row>
    <row r="7">
      <c r="A7" s="4" t="n">
        <v>3</v>
      </c>
      <c r="B7" s="5" t="n"/>
      <c r="C7" s="5" t="n"/>
      <c r="D7" s="5" t="n"/>
      <c r="E7" s="5" t="n"/>
      <c r="F7" s="5" t="n"/>
      <c r="G7" s="6">
        <f>IF(AND(B7&lt;&gt;"",D7&lt;&gt;""),B7-D7,"")</f>
        <v/>
      </c>
      <c r="H7" s="6">
        <f>IF(AND(B7&lt;&gt;"",C7&lt;&gt;"",E7&lt;&gt;""),DEGREES(ATAN((B7-C7)/E7)),"")</f>
        <v/>
      </c>
    </row>
    <row r="8">
      <c r="A8" s="4" t="n">
        <v>4</v>
      </c>
      <c r="B8" s="5" t="n"/>
      <c r="C8" s="5" t="n"/>
      <c r="D8" s="5" t="n"/>
      <c r="E8" s="5" t="n"/>
      <c r="F8" s="5" t="n"/>
      <c r="G8" s="6">
        <f>IF(AND(B8&lt;&gt;"",D8&lt;&gt;""),B8-D8,"")</f>
        <v/>
      </c>
      <c r="H8" s="6">
        <f>IF(AND(B8&lt;&gt;"",C8&lt;&gt;"",E8&lt;&gt;""),DEGREES(ATAN((B8-C8)/E8)),"")</f>
        <v/>
      </c>
    </row>
    <row r="9">
      <c r="A9" s="4" t="n">
        <v>5</v>
      </c>
      <c r="B9" s="5" t="n"/>
      <c r="C9" s="5" t="n"/>
      <c r="D9" s="5" t="n"/>
      <c r="E9" s="5" t="n"/>
      <c r="F9" s="5" t="n"/>
      <c r="G9" s="6">
        <f>IF(AND(B9&lt;&gt;"",D9&lt;&gt;""),B9-D9,"")</f>
        <v/>
      </c>
      <c r="H9" s="6">
        <f>IF(AND(B9&lt;&gt;"",C9&lt;&gt;"",E9&lt;&gt;""),DEGREES(ATAN((B9-C9)/E9)),"")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2026-06-03T04:59:20Z</dcterms:created>
  <dcterms:modified xmlns:dcterms="http://purl.org/dc/terms/" xmlns:xsi="http://www.w3.org/2001/XMLSchema-instance" xsi:type="dcterms:W3CDTF">2026-06-03T04:59:20Z</dcterms:modified>
</cp:coreProperties>
</file>